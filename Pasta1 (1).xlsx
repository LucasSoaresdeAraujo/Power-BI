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18\Desktop\"/>
    </mc:Choice>
  </mc:AlternateContent>
  <xr:revisionPtr revIDLastSave="0" documentId="8_{36BC9278-21AF-4B39-AD40-8C55234759DD}" xr6:coauthVersionLast="47" xr6:coauthVersionMax="47" xr10:uidLastSave="{00000000-0000-0000-0000-000000000000}"/>
  <bookViews>
    <workbookView xWindow="-60" yWindow="-60" windowWidth="15480" windowHeight="10980" xr2:uid="{A0E30AD6-8E79-49DE-A3C0-E288CD19090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4" i="1"/>
  <c r="G5" i="1"/>
  <c r="G6" i="1"/>
  <c r="G7" i="1"/>
  <c r="G8" i="1"/>
  <c r="G9" i="1"/>
  <c r="G10" i="1"/>
  <c r="G11" i="1"/>
  <c r="G12" i="1"/>
  <c r="D9" i="1"/>
  <c r="G3" i="1"/>
  <c r="D4" i="1"/>
  <c r="D5" i="1"/>
  <c r="D6" i="1"/>
  <c r="D7" i="1"/>
  <c r="D8" i="1"/>
  <c r="D10" i="1"/>
  <c r="D11" i="1"/>
  <c r="D12" i="1"/>
  <c r="D3" i="1"/>
</calcChain>
</file>

<file path=xl/sharedStrings.xml><?xml version="1.0" encoding="utf-8"?>
<sst xmlns="http://schemas.openxmlformats.org/spreadsheetml/2006/main" count="17" uniqueCount="17">
  <si>
    <t>Funcionario</t>
  </si>
  <si>
    <t>Salário Bruto</t>
  </si>
  <si>
    <t xml:space="preserve"> Hora Extra trabalhada</t>
  </si>
  <si>
    <t>Por Hora extra</t>
  </si>
  <si>
    <t>Encargos da Empresa</t>
  </si>
  <si>
    <t>Salário Familia</t>
  </si>
  <si>
    <t>Custo Total Empresa</t>
  </si>
  <si>
    <t>João Silva</t>
  </si>
  <si>
    <t>Maria Oliveira</t>
  </si>
  <si>
    <t>Carlos Santos</t>
  </si>
  <si>
    <t>Ana Paula Costa</t>
  </si>
  <si>
    <t>Pedro Henrique Lima</t>
  </si>
  <si>
    <t>Fernanda Rocha 3</t>
  </si>
  <si>
    <t>Lucas Almeida</t>
  </si>
  <si>
    <t>Juliana Ferreira</t>
  </si>
  <si>
    <t>Rafael Nogueira 1</t>
  </si>
  <si>
    <t>Camila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</si>
</sst>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0" borderId="0" xfId="0" applyFont="1"/>
    <xf numFmtId="164" fontId="0" fillId="2" borderId="1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 Mensal por Funcionário</a:t>
            </a:r>
          </a:p>
        </c:rich>
      </c:tx>
      <c:layout>
        <c:manualLayout>
          <c:xMode val="edge"/>
          <c:yMode val="edge"/>
          <c:x val="0.41116258345690876"/>
          <c:y val="2.0012184082919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Planilha1!$A$3:$A$12</c:f>
              <c:strCache>
                <c:ptCount val="10"/>
                <c:pt idx="0">
                  <c:v>João Silva</c:v>
                </c:pt>
                <c:pt idx="1">
                  <c:v>Maria Oliveira</c:v>
                </c:pt>
                <c:pt idx="2">
                  <c:v>Carlos Santos</c:v>
                </c:pt>
                <c:pt idx="3">
                  <c:v>Ana Paula Costa</c:v>
                </c:pt>
                <c:pt idx="4">
                  <c:v>Pedro Henrique Lima</c:v>
                </c:pt>
                <c:pt idx="5">
                  <c:v>Fernanda Rocha 3</c:v>
                </c:pt>
                <c:pt idx="6">
                  <c:v>Lucas Almeida</c:v>
                </c:pt>
                <c:pt idx="7">
                  <c:v>Juliana Ferreira</c:v>
                </c:pt>
                <c:pt idx="8">
                  <c:v>Rafael Nogueira 1</c:v>
                </c:pt>
                <c:pt idx="9">
                  <c:v>Camila Pacheco</c:v>
                </c:pt>
              </c:strCache>
            </c:strRef>
          </c:cat>
          <c:val>
            <c:numRef>
              <c:f>Planilha1!$G$3:$G$12</c:f>
              <c:numCache>
                <c:formatCode>_-[$R$-416]\ * #,##0.00_-;\-[$R$-416]\ * #,##0.00_-;_-[$R$-416]\ * "-"??_-;_-@_-</c:formatCode>
                <c:ptCount val="10"/>
                <c:pt idx="0">
                  <c:v>5673.636363636364</c:v>
                </c:pt>
                <c:pt idx="1">
                  <c:v>2572.7272727272725</c:v>
                </c:pt>
                <c:pt idx="2">
                  <c:v>3442.7272727272725</c:v>
                </c:pt>
                <c:pt idx="3">
                  <c:v>3737.2727272727275</c:v>
                </c:pt>
                <c:pt idx="4">
                  <c:v>2590.909090909091</c:v>
                </c:pt>
                <c:pt idx="5">
                  <c:v>3410</c:v>
                </c:pt>
                <c:pt idx="6">
                  <c:v>2590.909090909091</c:v>
                </c:pt>
                <c:pt idx="7">
                  <c:v>2482.727272727273</c:v>
                </c:pt>
                <c:pt idx="8">
                  <c:v>2714.5454545454545</c:v>
                </c:pt>
                <c:pt idx="9">
                  <c:v>2187.272727272727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6-432C-B60F-DC538FD2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5"/>
        <c:overlap val="100"/>
        <c:axId val="53300232"/>
        <c:axId val="115867656"/>
      </c:barChart>
      <c:catAx>
        <c:axId val="53300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7656"/>
        <c:crosses val="autoZero"/>
        <c:auto val="1"/>
        <c:lblAlgn val="ctr"/>
        <c:lblOffset val="100"/>
        <c:noMultiLvlLbl val="0"/>
      </c:catAx>
      <c:valAx>
        <c:axId val="115867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123825</xdr:rowOff>
    </xdr:from>
    <xdr:to>
      <xdr:col>7</xdr:col>
      <xdr:colOff>19050</xdr:colOff>
      <xdr:row>39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3F987B9-EF24-21D0-D058-AF3F44439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D90F-20EB-4AE8-880E-865C28DD4F42}">
  <dimension ref="A2:H39"/>
  <sheetViews>
    <sheetView tabSelected="1" workbookViewId="0">
      <selection activeCell="G13" sqref="G13"/>
    </sheetView>
  </sheetViews>
  <sheetFormatPr defaultRowHeight="15"/>
  <cols>
    <col min="1" max="1" width="19.85546875" bestFit="1" customWidth="1"/>
    <col min="2" max="2" width="14.42578125" customWidth="1"/>
    <col min="3" max="3" width="23.85546875" customWidth="1"/>
    <col min="4" max="5" width="19.5703125" bestFit="1" customWidth="1"/>
    <col min="6" max="6" width="19.28515625" bestFit="1" customWidth="1"/>
    <col min="7" max="7" width="18.7109375" bestFit="1" customWidth="1"/>
    <col min="9" max="9" width="12.140625" bestFit="1" customWidth="1"/>
  </cols>
  <sheetData>
    <row r="2" spans="1:8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</row>
    <row r="3" spans="1:8">
      <c r="A3" s="8" t="s">
        <v>7</v>
      </c>
      <c r="B3" s="3">
        <v>5000</v>
      </c>
      <c r="C3" s="8">
        <v>5</v>
      </c>
      <c r="D3" s="4">
        <f>B3/220</f>
        <v>22.727272727272727</v>
      </c>
      <c r="E3" s="8">
        <v>500</v>
      </c>
      <c r="F3" s="2">
        <v>60</v>
      </c>
      <c r="G3" s="9">
        <f>B3 + (C3*D3) + E3 + F3</f>
        <v>5673.636363636364</v>
      </c>
      <c r="H3" s="1"/>
    </row>
    <row r="4" spans="1:8">
      <c r="A4" s="8" t="s">
        <v>8</v>
      </c>
      <c r="B4" s="3">
        <v>2000</v>
      </c>
      <c r="C4" s="8">
        <v>8</v>
      </c>
      <c r="D4" s="4">
        <f t="shared" ref="D4:D12" si="0">B4/220</f>
        <v>9.0909090909090917</v>
      </c>
      <c r="E4" s="8">
        <v>500</v>
      </c>
      <c r="F4" s="2">
        <v>0</v>
      </c>
      <c r="G4" s="9">
        <f t="shared" ref="G4:G12" si="1">B4 + (C4*D4) + E4 + F4</f>
        <v>2572.7272727272725</v>
      </c>
      <c r="H4" s="1"/>
    </row>
    <row r="5" spans="1:8">
      <c r="A5" s="8" t="s">
        <v>9</v>
      </c>
      <c r="B5" s="3">
        <v>2700</v>
      </c>
      <c r="C5" s="8">
        <v>10</v>
      </c>
      <c r="D5" s="4">
        <f t="shared" si="0"/>
        <v>12.272727272727273</v>
      </c>
      <c r="E5" s="8">
        <v>500</v>
      </c>
      <c r="F5" s="2">
        <v>120</v>
      </c>
      <c r="G5" s="9">
        <f t="shared" si="1"/>
        <v>3442.7272727272725</v>
      </c>
      <c r="H5" s="1"/>
    </row>
    <row r="6" spans="1:8">
      <c r="A6" s="8" t="s">
        <v>10</v>
      </c>
      <c r="B6" s="3">
        <v>3000</v>
      </c>
      <c r="C6" s="8">
        <v>13</v>
      </c>
      <c r="D6" s="4">
        <f t="shared" si="0"/>
        <v>13.636363636363637</v>
      </c>
      <c r="E6" s="8">
        <v>500</v>
      </c>
      <c r="F6" s="2">
        <v>60</v>
      </c>
      <c r="G6" s="9">
        <f t="shared" si="1"/>
        <v>3737.2727272727275</v>
      </c>
      <c r="H6" s="1"/>
    </row>
    <row r="7" spans="1:8">
      <c r="A7" s="8" t="s">
        <v>11</v>
      </c>
      <c r="B7" s="3">
        <v>2000</v>
      </c>
      <c r="C7" s="8">
        <v>10</v>
      </c>
      <c r="D7" s="4">
        <f t="shared" si="0"/>
        <v>9.0909090909090917</v>
      </c>
      <c r="E7" s="8">
        <v>500</v>
      </c>
      <c r="F7" s="2">
        <v>0</v>
      </c>
      <c r="G7" s="9">
        <f t="shared" si="1"/>
        <v>2590.909090909091</v>
      </c>
      <c r="H7" s="1"/>
    </row>
    <row r="8" spans="1:8">
      <c r="A8" s="8" t="s">
        <v>12</v>
      </c>
      <c r="B8" s="3">
        <v>2600</v>
      </c>
      <c r="C8" s="8">
        <v>11</v>
      </c>
      <c r="D8" s="4">
        <f t="shared" si="0"/>
        <v>11.818181818181818</v>
      </c>
      <c r="E8" s="8">
        <v>500</v>
      </c>
      <c r="F8" s="2">
        <v>180</v>
      </c>
      <c r="G8" s="9">
        <f t="shared" si="1"/>
        <v>3410</v>
      </c>
      <c r="H8" s="1"/>
    </row>
    <row r="9" spans="1:8">
      <c r="A9" s="8" t="s">
        <v>13</v>
      </c>
      <c r="B9" s="3">
        <v>2000</v>
      </c>
      <c r="C9" s="8">
        <v>10</v>
      </c>
      <c r="D9" s="4">
        <f>B9/220</f>
        <v>9.0909090909090917</v>
      </c>
      <c r="E9" s="8">
        <v>500</v>
      </c>
      <c r="F9" s="2">
        <v>0</v>
      </c>
      <c r="G9" s="9">
        <f t="shared" si="1"/>
        <v>2590.909090909091</v>
      </c>
      <c r="H9" s="1"/>
    </row>
    <row r="10" spans="1:8">
      <c r="A10" s="8" t="s">
        <v>14</v>
      </c>
      <c r="B10" s="3">
        <v>1800</v>
      </c>
      <c r="C10" s="8">
        <v>15</v>
      </c>
      <c r="D10" s="4">
        <f t="shared" si="0"/>
        <v>8.1818181818181817</v>
      </c>
      <c r="E10" s="8">
        <v>500</v>
      </c>
      <c r="F10" s="2">
        <v>60</v>
      </c>
      <c r="G10" s="9">
        <f t="shared" si="1"/>
        <v>2482.727272727273</v>
      </c>
      <c r="H10" s="1"/>
    </row>
    <row r="11" spans="1:8">
      <c r="A11" s="8" t="s">
        <v>15</v>
      </c>
      <c r="B11" s="3">
        <v>2000</v>
      </c>
      <c r="C11" s="8">
        <v>17</v>
      </c>
      <c r="D11" s="4">
        <f t="shared" si="0"/>
        <v>9.0909090909090917</v>
      </c>
      <c r="E11" s="8">
        <v>500</v>
      </c>
      <c r="F11" s="2">
        <v>60</v>
      </c>
      <c r="G11" s="9">
        <f t="shared" si="1"/>
        <v>2714.5454545454545</v>
      </c>
      <c r="H11" s="1"/>
    </row>
    <row r="12" spans="1:8">
      <c r="A12" s="8" t="s">
        <v>16</v>
      </c>
      <c r="B12" s="3">
        <v>1600</v>
      </c>
      <c r="C12" s="8">
        <v>12</v>
      </c>
      <c r="D12" s="4">
        <f t="shared" si="0"/>
        <v>7.2727272727272725</v>
      </c>
      <c r="E12" s="8">
        <v>500</v>
      </c>
      <c r="F12" s="2">
        <v>0</v>
      </c>
      <c r="G12" s="12">
        <f t="shared" si="1"/>
        <v>2187.272727272727</v>
      </c>
      <c r="H12" s="1"/>
    </row>
    <row r="13" spans="1:8">
      <c r="A13" s="1"/>
      <c r="B13" s="1"/>
      <c r="C13" s="1"/>
      <c r="D13" s="1"/>
      <c r="E13" s="1"/>
      <c r="F13" s="1"/>
      <c r="G13" s="11">
        <f>SUM(G3:G12)</f>
        <v>31402.727272727276</v>
      </c>
      <c r="H13" s="1"/>
    </row>
    <row r="16" spans="1:8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Aluno18</dc:creator>
  <cp:keywords/>
  <dc:description/>
  <cp:lastModifiedBy/>
  <cp:revision/>
  <dcterms:created xsi:type="dcterms:W3CDTF">2026-02-06T17:11:54Z</dcterms:created>
  <dcterms:modified xsi:type="dcterms:W3CDTF">2026-02-10T14:08:45Z</dcterms:modified>
  <cp:category/>
  <cp:contentStatus/>
</cp:coreProperties>
</file>